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 Readiness" sheetId="1" state="visible" r:id="rId1"/>
    <sheet xmlns:r="http://schemas.openxmlformats.org/officeDocument/2006/relationships" name="Summary" sheetId="2" state="visible" r:id="rId2"/>
  </sheets>
  <definedNames>
    <definedName name="_xlnm.Print_Titles" localSheetId="0">'Prod Readiness'!$1:$4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404040"/>
      <sz val="10"/>
    </font>
    <font>
      <b val="1"/>
      <color rgb="00FFFFFF"/>
    </font>
    <font>
      <b val="1"/>
      <color rgb="00FFFFFF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EAF2F8"/>
      </patternFill>
    </fill>
    <fill>
      <patternFill patternType="solid">
        <fgColor rgb="00D9EAF7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center"/>
    </xf>
    <xf numFmtId="0" fontId="5" fillId="5" borderId="1" pivotButton="0" quotePrefix="0" xfId="0"/>
    <xf numFmtId="0" fontId="0" fillId="0" borderId="1" applyAlignment="1" pivotButton="0" quotePrefix="0" xfId="0">
      <alignment horizontal="center"/>
    </xf>
    <xf numFmtId="0" fontId="3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7F6000"/>
      </font>
      <fill>
        <patternFill patternType="solid">
          <fgColor rgb="00FFF2CC"/>
        </patternFill>
      </fill>
    </dxf>
    <dxf>
      <font>
        <b val="1"/>
        <color rgb="00C65911"/>
      </font>
      <fill>
        <patternFill patternType="solid">
          <fgColor rgb="00FCE4D6"/>
        </patternFill>
      </fill>
    </dxf>
    <dxf>
      <font>
        <color rgb="00274E13"/>
      </font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ductionReadiness" displayName="ProductionReadiness" ref="A4:E19" headerRowCount="1">
  <autoFilter ref="A4:E19"/>
  <tableColumns count="5">
    <tableColumn id="1" name="#"/>
    <tableColumn id="2" name="Validation item"/>
    <tableColumn id="3" name="Expected result"/>
    <tableColumn id="4" name="Status"/>
    <tableColumn id="5" name="Notes / 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7" customWidth="1" min="3" max="3"/>
    <col width="18" customWidth="1" min="4" max="4"/>
    <col width="60" customWidth="1" min="5" max="5"/>
  </cols>
  <sheetData>
    <row r="1" ht="34" customHeight="1">
      <c r="A1" s="1" t="inlineStr">
        <is>
          <t>PRODUCTION READINESS CHECKLIST</t>
        </is>
      </c>
    </row>
    <row r="2" ht="34" customHeight="1">
      <c r="A2" s="2" t="inlineStr">
        <is>
          <t>Demo-ready example statuses: assumed checks are marked Passed; HTTPS/TLS, patch management, and recovery testing are flagged Failed pending evidence. Update against the actual environment before production.</t>
        </is>
      </c>
    </row>
    <row r="4">
      <c r="A4" s="3" t="inlineStr">
        <is>
          <t>#</t>
        </is>
      </c>
      <c r="B4" s="3" t="inlineStr">
        <is>
          <t>Validation item</t>
        </is>
      </c>
      <c r="C4" s="3" t="inlineStr">
        <is>
          <t>Expected result</t>
        </is>
      </c>
      <c r="D4" s="3" t="inlineStr">
        <is>
          <t>Status</t>
        </is>
      </c>
      <c r="E4" s="3" t="inlineStr">
        <is>
          <t>Notes / evidence</t>
        </is>
      </c>
    </row>
    <row r="5" ht="48" customHeight="1">
      <c r="A5" s="4" t="n">
        <v>1</v>
      </c>
      <c r="B5" s="5" t="inlineStr">
        <is>
          <t>EC2 instance</t>
        </is>
      </c>
      <c r="C5" s="5" t="inlineStr">
        <is>
          <t>Instance is running and in the intended region/type.</t>
        </is>
      </c>
      <c r="D5" s="6" t="inlineStr">
        <is>
          <t>Passed</t>
        </is>
      </c>
      <c r="E5" s="5" t="inlineStr">
        <is>
          <t>Assumed passed for the demo; confirm in EC2 console.</t>
        </is>
      </c>
    </row>
    <row r="6" ht="48" customHeight="1">
      <c r="A6" s="7" t="n">
        <v>2</v>
      </c>
      <c r="B6" s="8" t="inlineStr">
        <is>
          <t>Nginx service</t>
        </is>
      </c>
      <c r="C6" s="8" t="inlineStr">
        <is>
          <t>Nginx service is active and enabled where required.</t>
        </is>
      </c>
      <c r="D6" s="9" t="inlineStr">
        <is>
          <t>Passed</t>
        </is>
      </c>
      <c r="E6" s="8" t="inlineStr">
        <is>
          <t>Assumed active for the demo; confirm with systemctl status nginx.</t>
        </is>
      </c>
    </row>
    <row r="7" ht="48" customHeight="1">
      <c r="A7" s="4" t="n">
        <v>3</v>
      </c>
      <c r="B7" s="5" t="inlineStr">
        <is>
          <t>SSH access</t>
        </is>
      </c>
      <c r="C7" s="5" t="inlineStr">
        <is>
          <t>SSH is active and restricted to approved IPs/users.</t>
        </is>
      </c>
      <c r="D7" s="6" t="inlineStr">
        <is>
          <t>Passed</t>
        </is>
      </c>
      <c r="E7" s="5" t="inlineStr">
        <is>
          <t>Assumed restricted; confirm security-group source ranges and SSH settings.</t>
        </is>
      </c>
    </row>
    <row r="8" ht="48" customHeight="1">
      <c r="A8" s="7" t="n">
        <v>4</v>
      </c>
      <c r="B8" s="8" t="inlineStr">
        <is>
          <t>CPU &amp; memory</t>
        </is>
      </c>
      <c r="C8" s="8" t="inlineStr">
        <is>
          <t>CPU and memory usage are within acceptable limits.</t>
        </is>
      </c>
      <c r="D8" s="9" t="inlineStr">
        <is>
          <t>Passed</t>
        </is>
      </c>
      <c r="E8" s="8" t="inlineStr">
        <is>
          <t>Assumed normal for the demo; confirm CloudWatch/OS metrics.</t>
        </is>
      </c>
    </row>
    <row r="9" ht="48" customHeight="1">
      <c r="A9" s="4" t="n">
        <v>5</v>
      </c>
      <c r="B9" s="5" t="inlineStr">
        <is>
          <t>Browser validation</t>
        </is>
      </c>
      <c r="C9" s="5" t="inlineStr">
        <is>
          <t>Website loads successfully over the intended protocol.</t>
        </is>
      </c>
      <c r="D9" s="6" t="inlineStr">
        <is>
          <t>Passed</t>
        </is>
      </c>
      <c r="E9" s="5" t="inlineStr">
        <is>
          <t>Assumed site loads; confirm by opening the deployed URL.</t>
        </is>
      </c>
    </row>
    <row r="10" ht="48" customHeight="1">
      <c r="A10" s="7" t="n">
        <v>6</v>
      </c>
      <c r="B10" s="8" t="inlineStr">
        <is>
          <t>Application logs</t>
        </is>
      </c>
      <c r="C10" s="8" t="inlineStr">
        <is>
          <t>No unresolved critical errors appear in application or service logs.</t>
        </is>
      </c>
      <c r="D10" s="9" t="inlineStr">
        <is>
          <t>Passed</t>
        </is>
      </c>
      <c r="E10" s="8" t="inlineStr">
        <is>
          <t>Assumed clean for the demo; inspect app and Nginx logs.</t>
        </is>
      </c>
    </row>
    <row r="11" ht="48" customHeight="1">
      <c r="A11" s="4" t="n">
        <v>7</v>
      </c>
      <c r="B11" s="5" t="inlineStr">
        <is>
          <t>Backup</t>
        </is>
      </c>
      <c r="C11" s="5" t="inlineStr">
        <is>
          <t>A recent snapshot/backup completed successfully and is retained.</t>
        </is>
      </c>
      <c r="D11" s="6" t="inlineStr">
        <is>
          <t>Passed</t>
        </is>
      </c>
      <c r="E11" s="5" t="inlineStr">
        <is>
          <t>Assumed snapshot completed; confirm snapshot state is Completed.</t>
        </is>
      </c>
    </row>
    <row r="12" ht="48" customHeight="1">
      <c r="A12" s="7" t="n">
        <v>8</v>
      </c>
      <c r="B12" s="8" t="inlineStr">
        <is>
          <t>Network configured</t>
        </is>
      </c>
      <c r="C12" s="8" t="inlineStr">
        <is>
          <t>Only required inbound ports are exposed.</t>
        </is>
      </c>
      <c r="D12" s="9" t="inlineStr">
        <is>
          <t>Passed</t>
        </is>
      </c>
      <c r="E12" s="8" t="inlineStr">
        <is>
          <t>Assumed minimal inbound rules; review security group and firewall.</t>
        </is>
      </c>
    </row>
    <row r="13" ht="48" customHeight="1">
      <c r="A13" s="4" t="n">
        <v>9</v>
      </c>
      <c r="B13" s="5" t="inlineStr">
        <is>
          <t>Cost optimization</t>
        </is>
      </c>
      <c r="C13" s="5" t="inlineStr">
        <is>
          <t>Instance size and supporting resources match current needs.</t>
        </is>
      </c>
      <c r="D13" s="6" t="inlineStr">
        <is>
          <t>Passed</t>
        </is>
      </c>
      <c r="E13" s="5" t="inlineStr">
        <is>
          <t>Assumed appropriately sized for the demo; review actual usage and billing.</t>
        </is>
      </c>
    </row>
    <row r="14" ht="48" customHeight="1">
      <c r="A14" s="7" t="n">
        <v>10</v>
      </c>
      <c r="B14" s="8" t="inlineStr">
        <is>
          <t>Unused resources</t>
        </is>
      </c>
      <c r="C14" s="8" t="inlineStr">
        <is>
          <t>Unused volumes, IPs, snapshots, and other resources are removed or justified.</t>
        </is>
      </c>
      <c r="D14" s="9" t="inlineStr">
        <is>
          <t>Passed</t>
        </is>
      </c>
      <c r="E14" s="8" t="inlineStr">
        <is>
          <t>Assumed cleanup done; inspect for unattached/idle resources.</t>
        </is>
      </c>
    </row>
    <row r="15" ht="48" customHeight="1">
      <c r="A15" s="4" t="n">
        <v>11</v>
      </c>
      <c r="B15" s="5" t="inlineStr">
        <is>
          <t>HTTPS / TLS</t>
        </is>
      </c>
      <c r="C15" s="5" t="inlineStr">
        <is>
          <t>HTTPS is enabled with a valid certificate and HTTP redirects to HTTPS where appropriate.</t>
        </is>
      </c>
      <c r="D15" s="6" t="inlineStr">
        <is>
          <t>Failed</t>
        </is>
      </c>
      <c r="E15" s="5" t="inlineStr">
        <is>
          <t>Treat as failed until HTTPS and certificate validity are confirmed.</t>
        </is>
      </c>
    </row>
    <row r="16" ht="48" customHeight="1">
      <c r="A16" s="7" t="n">
        <v>12</v>
      </c>
      <c r="B16" s="8" t="inlineStr">
        <is>
          <t>IAM permissions</t>
        </is>
      </c>
      <c r="C16" s="8" t="inlineStr">
        <is>
          <t>Instance role and user permissions follow least privilege.</t>
        </is>
      </c>
      <c r="D16" s="9" t="inlineStr">
        <is>
          <t>Passed</t>
        </is>
      </c>
      <c r="E16" s="8" t="inlineStr">
        <is>
          <t>Assumed least privilege for the demo; review attached policies.</t>
        </is>
      </c>
    </row>
    <row r="17" ht="48" customHeight="1">
      <c r="A17" s="4" t="n">
        <v>13</v>
      </c>
      <c r="B17" s="5" t="inlineStr">
        <is>
          <t>Health checks</t>
        </is>
      </c>
      <c r="C17" s="5" t="inlineStr">
        <is>
          <t>Application/service health checks are configured and passing.</t>
        </is>
      </c>
      <c r="D17" s="6" t="inlineStr">
        <is>
          <t>Passed</t>
        </is>
      </c>
      <c r="E17" s="5" t="inlineStr">
        <is>
          <t>Assumed healthy for the demo; confirm health-check results.</t>
        </is>
      </c>
    </row>
    <row r="18" ht="48" customHeight="1">
      <c r="A18" s="7" t="n">
        <v>14</v>
      </c>
      <c r="B18" s="8" t="inlineStr">
        <is>
          <t>Patch management</t>
        </is>
      </c>
      <c r="C18" s="8" t="inlineStr">
        <is>
          <t>OS packages and application dependencies are patched to supported versions.</t>
        </is>
      </c>
      <c r="D18" s="9" t="inlineStr">
        <is>
          <t>Failed</t>
        </is>
      </c>
      <c r="E18" s="8" t="inlineStr">
        <is>
          <t>Treat as failed until pending security updates and dependency advisories are checked.</t>
        </is>
      </c>
    </row>
    <row r="19" ht="48" customHeight="1">
      <c r="A19" s="4" t="n">
        <v>15</v>
      </c>
      <c r="B19" s="5" t="inlineStr">
        <is>
          <t>Recovery test</t>
        </is>
      </c>
      <c r="C19" s="5" t="inlineStr">
        <is>
          <t>A documented restore/recovery procedure has been tested successfully.</t>
        </is>
      </c>
      <c r="D19" s="6" t="inlineStr">
        <is>
          <t>Failed</t>
        </is>
      </c>
      <c r="E19" s="5" t="inlineStr">
        <is>
          <t>Treat as failed until a restore/recovery test is demonstrated.</t>
        </is>
      </c>
    </row>
  </sheetData>
  <mergeCells count="2">
    <mergeCell ref="A2:E2"/>
    <mergeCell ref="A1:E1"/>
  </mergeCells>
  <conditionalFormatting sqref="D5:D19">
    <cfRule type="expression" priority="1" dxfId="0">
      <formula>D5="Passed"</formula>
    </cfRule>
    <cfRule type="expression" priority="2" dxfId="1">
      <formula>D5="Failed"</formula>
    </cfRule>
    <cfRule type="expression" priority="3" dxfId="2">
      <formula>D5="Not verified"</formula>
    </cfRule>
    <cfRule type="expression" priority="4" dxfId="3">
      <formula>D5="Blocked"</formula>
    </cfRule>
    <cfRule type="expression" priority="5" dxfId="4">
      <formula>D5="N/A"</formula>
    </cfRule>
  </conditionalFormatting>
  <dataValidations count="1">
    <dataValidation sqref="D5:D19" showDropDown="0" showInputMessage="0" showErrorMessage="0" allowBlank="0" errorTitle="Invalid status" error="Choose a status from the dropdown." promptTitle="Checklist status" prompt="Update this after performing the check." type="list">
      <formula1>"Passed,Failed,Not verified,Blocked,N/A"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6" customWidth="1" min="2" max="2"/>
    <col width="18" customWidth="1" min="3" max="3"/>
    <col width="18" customWidth="1" min="4" max="4"/>
  </cols>
  <sheetData>
    <row r="1" ht="30" customHeight="1">
      <c r="A1" s="10" t="inlineStr">
        <is>
          <t>READINESS SUMMARY — DEMO STATUSES</t>
        </is>
      </c>
    </row>
    <row r="3">
      <c r="A3" s="11" t="inlineStr">
        <is>
          <t>Total checks</t>
        </is>
      </c>
      <c r="B3" s="12">
        <f>COUNTA('Prod Readiness'!B5:B19)</f>
        <v/>
      </c>
    </row>
    <row r="4">
      <c r="A4" s="11" t="inlineStr">
        <is>
          <t>Passed</t>
        </is>
      </c>
      <c r="B4" s="12">
        <f>COUNTIF('Prod Readiness'!D5:D19,"Passed")</f>
        <v/>
      </c>
    </row>
    <row r="5">
      <c r="A5" s="11" t="inlineStr">
        <is>
          <t>Failed</t>
        </is>
      </c>
      <c r="B5" s="12">
        <f>COUNTIF('Prod Readiness'!D5:D19,"Failed")</f>
        <v/>
      </c>
    </row>
    <row r="6">
      <c r="A6" s="11" t="inlineStr">
        <is>
          <t>Not verified</t>
        </is>
      </c>
      <c r="B6" s="12">
        <f>COUNTIF('Prod Readiness'!D5:D19,"Not verified")</f>
        <v/>
      </c>
    </row>
    <row r="7">
      <c r="A7" s="11" t="inlineStr">
        <is>
          <t>Blocked</t>
        </is>
      </c>
      <c r="B7" s="12">
        <f>COUNTIF('Prod Readiness'!D5:D19,"Blocked")</f>
        <v/>
      </c>
    </row>
    <row r="8">
      <c r="A8" s="11" t="inlineStr">
        <is>
          <t>N/A</t>
        </is>
      </c>
      <c r="B8" s="12">
        <f>COUNTIF('Prod Readiness'!D5:D19,"N/A")</f>
        <v/>
      </c>
    </row>
    <row r="11">
      <c r="A11" s="13" t="inlineStr">
        <is>
          <t>Important</t>
        </is>
      </c>
      <c r="B11" s="14" t="inlineStr">
        <is>
          <t>These are illustrative demo statuses, not results from live infrastructure checks. Validate each item before treating the environment as production-ready.</t>
        </is>
      </c>
    </row>
    <row r="12"/>
  </sheetData>
  <mergeCells count="2">
    <mergeCell ref="B11:D1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2026-10-16T10:15:02Z</dcterms:created>
  <dcterms:modified xmlns:dcterms="http://purl.org/dc/terms/" xmlns:xsi="http://www.w3.org/2001/XMLSchema-instance" xsi:type="dcterms:W3CDTF">2026-10-16T10:15:02Z</dcterms:modified>
</cp:coreProperties>
</file>